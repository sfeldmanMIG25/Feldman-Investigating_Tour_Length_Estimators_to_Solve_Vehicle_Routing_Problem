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tst\OneDrive - Rensselaer Polytechnic Institute\VRP CheatCode\VRP Exploration GIT\RPI-VRP-Heuristic-Exploration\CVRP Testing\Data\Scripts\Batch_Run_Results_tabu2\"/>
    </mc:Choice>
  </mc:AlternateContent>
  <xr:revisionPtr revIDLastSave="0" documentId="13_ncr:1_{EB01DBA4-EC57-4AEA-87B1-9BBEAF48D6C9}" xr6:coauthVersionLast="47" xr6:coauthVersionMax="47" xr10:uidLastSave="{00000000-0000-0000-0000-000000000000}"/>
  <bookViews>
    <workbookView xWindow="-385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2" i="1" l="1"/>
  <c r="O4" i="1"/>
  <c r="R2" i="1"/>
  <c r="Q3" i="1"/>
  <c r="Q2" i="1"/>
  <c r="P2" i="1"/>
  <c r="O3" i="1"/>
  <c r="O2" i="1"/>
  <c r="N3" i="1"/>
  <c r="N2" i="1"/>
</calcChain>
</file>

<file path=xl/sharedStrings.xml><?xml version="1.0" encoding="utf-8"?>
<sst xmlns="http://schemas.openxmlformats.org/spreadsheetml/2006/main" count="91" uniqueCount="91">
  <si>
    <t>instance</t>
  </si>
  <si>
    <t>Estimator_Gap_OR_Tools</t>
  </si>
  <si>
    <t>Estimator_Gap_tabu2</t>
  </si>
  <si>
    <t>Heuristic_Cost_OR_Tools</t>
  </si>
  <si>
    <t>Heuristic_Cost_tabu2</t>
  </si>
  <si>
    <t>Total_Time_OR_Tools</t>
  </si>
  <si>
    <t>Total_Time_tabu2</t>
  </si>
  <si>
    <t>True_Gap_OR_Tools</t>
  </si>
  <si>
    <t>True_Gap_tabu2</t>
  </si>
  <si>
    <t>Optimal_Cost</t>
  </si>
  <si>
    <t>Max_Customers_Per_Vehicle</t>
  </si>
  <si>
    <t>XML100_1113_14</t>
  </si>
  <si>
    <t>XML100_1113_22</t>
  </si>
  <si>
    <t>XML100_1114_09</t>
  </si>
  <si>
    <t>XML100_1114_15</t>
  </si>
  <si>
    <t>XML100_1115_05</t>
  </si>
  <si>
    <t>XML100_1115_07</t>
  </si>
  <si>
    <t>XML100_1116_10</t>
  </si>
  <si>
    <t>XML100_1116_11</t>
  </si>
  <si>
    <t>XML100_1213_01</t>
  </si>
  <si>
    <t>XML100_1213_06</t>
  </si>
  <si>
    <t>XML100_1214_12</t>
  </si>
  <si>
    <t>XML100_1214_22</t>
  </si>
  <si>
    <t>XML100_1215_19</t>
  </si>
  <si>
    <t>XML100_1215_26</t>
  </si>
  <si>
    <t>XML100_1216_13</t>
  </si>
  <si>
    <t>XML100_1216_14</t>
  </si>
  <si>
    <t>XML100_1313_04</t>
  </si>
  <si>
    <t>XML100_1313_20</t>
  </si>
  <si>
    <t>XML100_1314_05</t>
  </si>
  <si>
    <t>XML100_1314_06</t>
  </si>
  <si>
    <t>XML100_1315_03</t>
  </si>
  <si>
    <t>XML100_1315_22</t>
  </si>
  <si>
    <t>XML100_1316_03</t>
  </si>
  <si>
    <t>XML100_1316_23</t>
  </si>
  <si>
    <t>XML100_2113_15</t>
  </si>
  <si>
    <t>XML100_2113_16</t>
  </si>
  <si>
    <t>XML100_2114_04</t>
  </si>
  <si>
    <t>XML100_2114_11</t>
  </si>
  <si>
    <t>XML100_2115_01</t>
  </si>
  <si>
    <t>XML100_2115_09</t>
  </si>
  <si>
    <t>XML100_2116_13</t>
  </si>
  <si>
    <t>XML100_2116_14</t>
  </si>
  <si>
    <t>XML100_2213_02</t>
  </si>
  <si>
    <t>XML100_2213_08</t>
  </si>
  <si>
    <t>XML100_2214_23</t>
  </si>
  <si>
    <t>XML100_2214_26</t>
  </si>
  <si>
    <t>XML100_2215_07</t>
  </si>
  <si>
    <t>XML100_2215_11</t>
  </si>
  <si>
    <t>XML100_2216_05</t>
  </si>
  <si>
    <t>XML100_2216_10</t>
  </si>
  <si>
    <t>XML100_2313_05</t>
  </si>
  <si>
    <t>XML100_2313_11</t>
  </si>
  <si>
    <t>XML100_2314_15</t>
  </si>
  <si>
    <t>XML100_2314_26</t>
  </si>
  <si>
    <t>XML100_2315_02</t>
  </si>
  <si>
    <t>XML100_2315_15</t>
  </si>
  <si>
    <t>XML100_2316_04</t>
  </si>
  <si>
    <t>XML100_2316_09</t>
  </si>
  <si>
    <t>XML100_3113_07</t>
  </si>
  <si>
    <t>XML100_3113_14</t>
  </si>
  <si>
    <t>XML100_3114_06</t>
  </si>
  <si>
    <t>XML100_3114_15</t>
  </si>
  <si>
    <t>XML100_3115_10</t>
  </si>
  <si>
    <t>XML100_3115_19</t>
  </si>
  <si>
    <t>XML100_3116_16</t>
  </si>
  <si>
    <t>XML100_3116_17</t>
  </si>
  <si>
    <t>XML100_3213_01</t>
  </si>
  <si>
    <t>XML100_3213_22</t>
  </si>
  <si>
    <t>XML100_3214_19</t>
  </si>
  <si>
    <t>XML100_3214_21</t>
  </si>
  <si>
    <t>XML100_3215_08</t>
  </si>
  <si>
    <t>XML100_3215_19</t>
  </si>
  <si>
    <t>XML100_3216_03</t>
  </si>
  <si>
    <t>XML100_3216_17</t>
  </si>
  <si>
    <t>XML100_3313_04</t>
  </si>
  <si>
    <t>XML100_3313_23</t>
  </si>
  <si>
    <t>XML100_3314_19</t>
  </si>
  <si>
    <t>XML100_3314_25</t>
  </si>
  <si>
    <t>XML100_3315_07</t>
  </si>
  <si>
    <t>XML100_3315_14</t>
  </si>
  <si>
    <t>XML100_3316_02</t>
  </si>
  <si>
    <t>XML100_3316_25</t>
  </si>
  <si>
    <t>Time</t>
  </si>
  <si>
    <t>Campaign</t>
  </si>
  <si>
    <t>ORTools</t>
  </si>
  <si>
    <t>Avg True</t>
  </si>
  <si>
    <t>AvgEstimator</t>
  </si>
  <si>
    <t>Var True</t>
  </si>
  <si>
    <t>N/A</t>
  </si>
  <si>
    <t>Var 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</si>
</sst>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2" borderId="4" xfId="0" applyFont="1" applyFill="1" applyBorder="1"/>
    <xf numFmtId="0" fontId="0" fillId="3" borderId="4" xfId="0" applyFont="1" applyFill="1" applyBorder="1"/>
    <xf numFmtId="0" fontId="0" fillId="2" borderId="5" xfId="0" applyFont="1" applyFill="1" applyBorder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0A211C-0939-4264-AE0D-F2D8E0933ADE}" name="Table1" displayName="Table1" ref="B1:K73" totalsRowShown="0" headerRowDxfId="0" headerRowBorderDxfId="1" tableBorderDxfId="2">
  <autoFilter ref="B1:K73" xr:uid="{670A211C-0939-4264-AE0D-F2D8E0933ADE}">
    <filterColumn colId="1">
      <customFilters>
        <customFilter operator="lessThanOrEqual" val="0"/>
      </customFilters>
    </filterColumn>
  </autoFilter>
  <tableColumns count="10">
    <tableColumn id="1" xr3:uid="{D5C9CD27-5939-459A-8409-53787598C03E}" name="Estimator_Gap_OR_Tools"/>
    <tableColumn id="2" xr3:uid="{AA4CA539-F2DA-4305-92BA-0BDA2DEC71F8}" name="Estimator_Gap_tabu2"/>
    <tableColumn id="3" xr3:uid="{DD58AA5C-2395-4641-906E-78825B98973D}" name="Heuristic_Cost_OR_Tools"/>
    <tableColumn id="4" xr3:uid="{0A61BE51-41D0-4ADD-8105-28AE0A457BAD}" name="Heuristic_Cost_tabu2"/>
    <tableColumn id="5" xr3:uid="{F1D0C307-0352-4D23-976A-C6559DE264C4}" name="Total_Time_OR_Tools"/>
    <tableColumn id="6" xr3:uid="{FB5657C3-FF60-49AC-9102-69FE7F53F808}" name="Total_Time_tabu2"/>
    <tableColumn id="7" xr3:uid="{72A1333B-943B-4C52-B190-AE3C9E1EE839}" name="True_Gap_OR_Tools"/>
    <tableColumn id="8" xr3:uid="{D380CC11-ADE2-45FB-8BEA-6812EB0346CA}" name="True_Gap_tabu2"/>
    <tableColumn id="9" xr3:uid="{78E1BB77-2CAA-4D6E-B558-FC005D9DA6BF}" name="Optimal_Cost"/>
    <tableColumn id="10" xr3:uid="{18DEC164-CBAF-473E-9144-FFB01C49842E}" name="Max_Customers_Per_Vehic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0"/>
  <sheetViews>
    <sheetView tabSelected="1" topLeftCell="B1" workbookViewId="0">
      <selection activeCell="I91" sqref="I91"/>
    </sheetView>
  </sheetViews>
  <sheetFormatPr defaultRowHeight="14.5" x14ac:dyDescent="0.35"/>
  <cols>
    <col min="1" max="1" width="15.453125" bestFit="1" customWidth="1"/>
    <col min="2" max="2" width="24.26953125" customWidth="1"/>
    <col min="3" max="3" width="21.26953125" customWidth="1"/>
    <col min="4" max="4" width="23.81640625" customWidth="1"/>
    <col min="5" max="5" width="20.81640625" customWidth="1"/>
    <col min="6" max="6" width="21.08984375" customWidth="1"/>
    <col min="7" max="7" width="18.08984375" customWidth="1"/>
    <col min="8" max="8" width="19.90625" customWidth="1"/>
    <col min="9" max="9" width="16.90625" customWidth="1"/>
    <col min="10" max="10" width="14.26953125" customWidth="1"/>
    <col min="11" max="11" width="27.26953125" customWidth="1"/>
  </cols>
  <sheetData>
    <row r="1" spans="1:18" x14ac:dyDescent="0.3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N1" s="2" t="s">
        <v>83</v>
      </c>
      <c r="O1" s="3" t="s">
        <v>86</v>
      </c>
      <c r="P1" s="3" t="s">
        <v>87</v>
      </c>
      <c r="Q1" s="3" t="s">
        <v>88</v>
      </c>
      <c r="R1" s="3" t="s">
        <v>90</v>
      </c>
    </row>
    <row r="2" spans="1:18" x14ac:dyDescent="0.35">
      <c r="A2" t="s">
        <v>11</v>
      </c>
      <c r="B2">
        <v>0.17</v>
      </c>
      <c r="C2">
        <v>-4.83</v>
      </c>
      <c r="D2">
        <v>15182.33</v>
      </c>
      <c r="E2">
        <v>16179.26</v>
      </c>
      <c r="F2">
        <v>3600</v>
      </c>
      <c r="G2">
        <v>7280.44</v>
      </c>
      <c r="H2">
        <v>0.17</v>
      </c>
      <c r="I2">
        <v>6.74</v>
      </c>
      <c r="J2">
        <v>15157</v>
      </c>
      <c r="K2">
        <v>11</v>
      </c>
      <c r="M2" t="s">
        <v>84</v>
      </c>
      <c r="N2">
        <f>AVERAGE(G:G)</f>
        <v>7242.7998611111125</v>
      </c>
      <c r="O2">
        <f>AVERAGE(I:I)</f>
        <v>4.8301388888888885</v>
      </c>
      <c r="P2">
        <f>AVERAGE(C:C)</f>
        <v>-3.5758333333333314</v>
      </c>
      <c r="Q2">
        <f>_xlfn.VAR.P(I:I)</f>
        <v>4.0861958140432177</v>
      </c>
      <c r="R2">
        <f>_xlfn.VAR.P(C:C)</f>
        <v>4.2902909722222375</v>
      </c>
    </row>
    <row r="3" spans="1:18" x14ac:dyDescent="0.35">
      <c r="A3" t="s">
        <v>12</v>
      </c>
      <c r="B3">
        <v>1.18</v>
      </c>
      <c r="C3">
        <v>-4.05</v>
      </c>
      <c r="D3">
        <v>14281</v>
      </c>
      <c r="E3">
        <v>15071.11</v>
      </c>
      <c r="F3">
        <v>3600</v>
      </c>
      <c r="G3">
        <v>7280.23</v>
      </c>
      <c r="H3">
        <v>1.18</v>
      </c>
      <c r="I3">
        <v>6.77</v>
      </c>
      <c r="J3">
        <v>14115</v>
      </c>
      <c r="K3">
        <v>12</v>
      </c>
      <c r="M3" t="s">
        <v>85</v>
      </c>
      <c r="N3">
        <f>AVERAGE(F:F)</f>
        <v>3600.001666666667</v>
      </c>
      <c r="O3">
        <f>AVERAGE(H:H)</f>
        <v>0.59291666666666654</v>
      </c>
      <c r="P3" t="s">
        <v>89</v>
      </c>
      <c r="Q3">
        <f>_xlfn.VAR.P(H:H)</f>
        <v>0.60117343750000041</v>
      </c>
    </row>
    <row r="4" spans="1:18" x14ac:dyDescent="0.35">
      <c r="A4" t="s">
        <v>13</v>
      </c>
      <c r="B4">
        <v>0.68</v>
      </c>
      <c r="C4">
        <v>-0.41</v>
      </c>
      <c r="D4">
        <v>11927.53</v>
      </c>
      <c r="E4">
        <v>12677.53</v>
      </c>
      <c r="F4">
        <v>3600</v>
      </c>
      <c r="G4">
        <v>7263.38</v>
      </c>
      <c r="H4">
        <v>0.68</v>
      </c>
      <c r="I4">
        <v>7.01</v>
      </c>
      <c r="J4">
        <v>11847</v>
      </c>
      <c r="K4">
        <v>12</v>
      </c>
      <c r="O4" t="e">
        <f>AVERAGEIF(I2:I73, "&lt;0",C2:C73)</f>
        <v>#DIV/0!</v>
      </c>
    </row>
    <row r="5" spans="1:18" x14ac:dyDescent="0.35">
      <c r="A5" t="s">
        <v>14</v>
      </c>
      <c r="B5">
        <v>-0.02</v>
      </c>
      <c r="C5">
        <v>-1.65</v>
      </c>
      <c r="D5">
        <v>11088.9</v>
      </c>
      <c r="E5">
        <v>11856.12</v>
      </c>
      <c r="F5">
        <v>3600</v>
      </c>
      <c r="G5">
        <v>7240.94</v>
      </c>
      <c r="H5">
        <v>-0.02</v>
      </c>
      <c r="I5">
        <v>6.9</v>
      </c>
      <c r="J5">
        <v>11091</v>
      </c>
      <c r="K5">
        <v>15</v>
      </c>
    </row>
    <row r="6" spans="1:18" x14ac:dyDescent="0.35">
      <c r="A6" t="s">
        <v>15</v>
      </c>
      <c r="B6">
        <v>0.38</v>
      </c>
      <c r="C6">
        <v>-6.17</v>
      </c>
      <c r="D6">
        <v>10538.75</v>
      </c>
      <c r="E6">
        <v>11358.5</v>
      </c>
      <c r="F6">
        <v>3600</v>
      </c>
      <c r="G6">
        <v>7226.19</v>
      </c>
      <c r="H6">
        <v>0.38</v>
      </c>
      <c r="I6">
        <v>8.19</v>
      </c>
      <c r="J6">
        <v>10499</v>
      </c>
      <c r="K6">
        <v>22</v>
      </c>
    </row>
    <row r="7" spans="1:18" x14ac:dyDescent="0.35">
      <c r="A7" t="s">
        <v>16</v>
      </c>
      <c r="B7">
        <v>1.08</v>
      </c>
      <c r="C7">
        <v>-1.78</v>
      </c>
      <c r="D7">
        <v>13217.66</v>
      </c>
      <c r="E7">
        <v>13515.1</v>
      </c>
      <c r="F7">
        <v>3600</v>
      </c>
      <c r="G7">
        <v>7233.78</v>
      </c>
      <c r="H7">
        <v>1.08</v>
      </c>
      <c r="I7">
        <v>3.36</v>
      </c>
      <c r="J7">
        <v>13076</v>
      </c>
      <c r="K7">
        <v>17</v>
      </c>
    </row>
    <row r="8" spans="1:18" hidden="1" x14ac:dyDescent="0.35">
      <c r="A8" t="s">
        <v>17</v>
      </c>
      <c r="B8">
        <v>0.84</v>
      </c>
      <c r="C8">
        <v>0.36</v>
      </c>
      <c r="D8">
        <v>9181.7000000000007</v>
      </c>
      <c r="E8">
        <v>9381.35</v>
      </c>
      <c r="F8">
        <v>3600</v>
      </c>
      <c r="G8">
        <v>7234.06</v>
      </c>
      <c r="H8">
        <v>0.84</v>
      </c>
      <c r="I8">
        <v>3.04</v>
      </c>
      <c r="J8">
        <v>9105</v>
      </c>
      <c r="K8">
        <v>45</v>
      </c>
    </row>
    <row r="9" spans="1:18" x14ac:dyDescent="0.35">
      <c r="A9" t="s">
        <v>18</v>
      </c>
      <c r="B9">
        <v>0.06</v>
      </c>
      <c r="C9">
        <v>-1.57</v>
      </c>
      <c r="D9">
        <v>8878.0499999999993</v>
      </c>
      <c r="E9">
        <v>9701.41</v>
      </c>
      <c r="F9">
        <v>3600</v>
      </c>
      <c r="G9">
        <v>7209.75</v>
      </c>
      <c r="H9">
        <v>0.06</v>
      </c>
      <c r="I9">
        <v>9.34</v>
      </c>
      <c r="J9">
        <v>8873</v>
      </c>
      <c r="K9">
        <v>40</v>
      </c>
    </row>
    <row r="10" spans="1:18" x14ac:dyDescent="0.35">
      <c r="A10" t="s">
        <v>19</v>
      </c>
      <c r="B10">
        <v>0.98</v>
      </c>
      <c r="C10">
        <v>-4.28</v>
      </c>
      <c r="D10">
        <v>11651.65</v>
      </c>
      <c r="E10">
        <v>11796.82</v>
      </c>
      <c r="F10">
        <v>3600.01</v>
      </c>
      <c r="G10">
        <v>7286.73</v>
      </c>
      <c r="H10">
        <v>0.98</v>
      </c>
      <c r="I10">
        <v>2.23</v>
      </c>
      <c r="J10">
        <v>11539</v>
      </c>
      <c r="K10">
        <v>10</v>
      </c>
    </row>
    <row r="11" spans="1:18" x14ac:dyDescent="0.35">
      <c r="A11" t="s">
        <v>20</v>
      </c>
      <c r="B11">
        <v>2.0499999999999998</v>
      </c>
      <c r="C11">
        <v>-4.7699999999999996</v>
      </c>
      <c r="D11">
        <v>13163.41</v>
      </c>
      <c r="E11">
        <v>13502.64</v>
      </c>
      <c r="F11">
        <v>3600</v>
      </c>
      <c r="G11">
        <v>7299.14</v>
      </c>
      <c r="H11">
        <v>2.0499999999999998</v>
      </c>
      <c r="I11">
        <v>4.68</v>
      </c>
      <c r="J11">
        <v>12899</v>
      </c>
      <c r="K11">
        <v>10</v>
      </c>
    </row>
    <row r="12" spans="1:18" x14ac:dyDescent="0.35">
      <c r="A12" t="s">
        <v>21</v>
      </c>
      <c r="B12">
        <v>0.22</v>
      </c>
      <c r="C12">
        <v>-4.42</v>
      </c>
      <c r="D12">
        <v>10956.54</v>
      </c>
      <c r="E12">
        <v>11453.89</v>
      </c>
      <c r="F12">
        <v>3600.02</v>
      </c>
      <c r="G12">
        <v>7272.55</v>
      </c>
      <c r="H12">
        <v>0.22</v>
      </c>
      <c r="I12">
        <v>4.76</v>
      </c>
      <c r="J12">
        <v>10933</v>
      </c>
      <c r="K12">
        <v>12</v>
      </c>
    </row>
    <row r="13" spans="1:18" x14ac:dyDescent="0.35">
      <c r="A13" t="s">
        <v>22</v>
      </c>
      <c r="B13">
        <v>0.24</v>
      </c>
      <c r="C13">
        <v>-3.65</v>
      </c>
      <c r="D13">
        <v>9963.2099999999991</v>
      </c>
      <c r="E13">
        <v>10555.63</v>
      </c>
      <c r="F13">
        <v>3600</v>
      </c>
      <c r="G13">
        <v>7260.9</v>
      </c>
      <c r="H13">
        <v>0.24</v>
      </c>
      <c r="I13">
        <v>6.2</v>
      </c>
      <c r="J13">
        <v>9939</v>
      </c>
      <c r="K13">
        <v>13</v>
      </c>
    </row>
    <row r="14" spans="1:18" x14ac:dyDescent="0.35">
      <c r="A14" t="s">
        <v>23</v>
      </c>
      <c r="B14">
        <v>0.53</v>
      </c>
      <c r="C14">
        <v>-5.21</v>
      </c>
      <c r="D14">
        <v>7882.67</v>
      </c>
      <c r="E14">
        <v>8346.0300000000007</v>
      </c>
      <c r="F14">
        <v>3600</v>
      </c>
      <c r="G14">
        <v>7246.74</v>
      </c>
      <c r="H14">
        <v>0.53</v>
      </c>
      <c r="I14">
        <v>6.44</v>
      </c>
      <c r="J14">
        <v>7841</v>
      </c>
      <c r="K14">
        <v>16</v>
      </c>
    </row>
    <row r="15" spans="1:18" x14ac:dyDescent="0.35">
      <c r="A15" t="s">
        <v>24</v>
      </c>
      <c r="B15">
        <v>0.45</v>
      </c>
      <c r="C15">
        <v>-4.88</v>
      </c>
      <c r="D15">
        <v>5005.49</v>
      </c>
      <c r="E15">
        <v>5424.16</v>
      </c>
      <c r="F15">
        <v>3600</v>
      </c>
      <c r="G15">
        <v>7265.17</v>
      </c>
      <c r="H15">
        <v>0.45</v>
      </c>
      <c r="I15">
        <v>8.85</v>
      </c>
      <c r="J15">
        <v>4983</v>
      </c>
      <c r="K15">
        <v>16</v>
      </c>
    </row>
    <row r="16" spans="1:18" x14ac:dyDescent="0.35">
      <c r="A16" t="s">
        <v>25</v>
      </c>
      <c r="B16">
        <v>0.04</v>
      </c>
      <c r="C16">
        <v>-3.95</v>
      </c>
      <c r="D16">
        <v>5584.07</v>
      </c>
      <c r="E16">
        <v>5947.58</v>
      </c>
      <c r="F16">
        <v>3600</v>
      </c>
      <c r="G16">
        <v>7229.51</v>
      </c>
      <c r="H16">
        <v>0.04</v>
      </c>
      <c r="I16">
        <v>6.55</v>
      </c>
      <c r="J16">
        <v>5582</v>
      </c>
      <c r="K16">
        <v>29</v>
      </c>
    </row>
    <row r="17" spans="1:11" x14ac:dyDescent="0.35">
      <c r="A17" t="s">
        <v>26</v>
      </c>
      <c r="B17">
        <v>0.04</v>
      </c>
      <c r="C17">
        <v>-4.49</v>
      </c>
      <c r="D17">
        <v>6837.79</v>
      </c>
      <c r="E17">
        <v>7149.01</v>
      </c>
      <c r="F17">
        <v>3600</v>
      </c>
      <c r="G17">
        <v>7217.94</v>
      </c>
      <c r="H17">
        <v>0.04</v>
      </c>
      <c r="I17">
        <v>4.59</v>
      </c>
      <c r="J17">
        <v>6835</v>
      </c>
      <c r="K17">
        <v>25</v>
      </c>
    </row>
    <row r="18" spans="1:11" x14ac:dyDescent="0.35">
      <c r="A18" t="s">
        <v>27</v>
      </c>
      <c r="B18">
        <v>1.31</v>
      </c>
      <c r="C18">
        <v>-5.95</v>
      </c>
      <c r="D18">
        <v>14605.18</v>
      </c>
      <c r="E18">
        <v>14767.02</v>
      </c>
      <c r="F18">
        <v>3600</v>
      </c>
      <c r="G18">
        <v>7291</v>
      </c>
      <c r="H18">
        <v>1.31</v>
      </c>
      <c r="I18">
        <v>2.4300000000000002</v>
      </c>
      <c r="J18">
        <v>14416</v>
      </c>
      <c r="K18">
        <v>11</v>
      </c>
    </row>
    <row r="19" spans="1:11" x14ac:dyDescent="0.35">
      <c r="A19" t="s">
        <v>28</v>
      </c>
      <c r="B19">
        <v>0.23</v>
      </c>
      <c r="C19">
        <v>-3.89</v>
      </c>
      <c r="D19">
        <v>15060.2</v>
      </c>
      <c r="E19">
        <v>15184.94</v>
      </c>
      <c r="F19">
        <v>3600.01</v>
      </c>
      <c r="G19">
        <v>7292.69</v>
      </c>
      <c r="H19">
        <v>0.23</v>
      </c>
      <c r="I19">
        <v>1.06</v>
      </c>
      <c r="J19">
        <v>15026</v>
      </c>
      <c r="K19">
        <v>10</v>
      </c>
    </row>
    <row r="20" spans="1:11" x14ac:dyDescent="0.35">
      <c r="A20" t="s">
        <v>29</v>
      </c>
      <c r="B20">
        <v>0.19</v>
      </c>
      <c r="C20">
        <v>-3.66</v>
      </c>
      <c r="D20">
        <v>12281.43</v>
      </c>
      <c r="E20">
        <v>13017.52</v>
      </c>
      <c r="F20">
        <v>3600</v>
      </c>
      <c r="G20">
        <v>7258.7</v>
      </c>
      <c r="H20">
        <v>0.19</v>
      </c>
      <c r="I20">
        <v>6.2</v>
      </c>
      <c r="J20">
        <v>12258</v>
      </c>
      <c r="K20">
        <v>15</v>
      </c>
    </row>
    <row r="21" spans="1:11" x14ac:dyDescent="0.35">
      <c r="A21" t="s">
        <v>30</v>
      </c>
      <c r="B21">
        <v>0.51</v>
      </c>
      <c r="C21">
        <v>-1.73</v>
      </c>
      <c r="D21">
        <v>14572.24</v>
      </c>
      <c r="E21">
        <v>15565.43</v>
      </c>
      <c r="F21">
        <v>3600</v>
      </c>
      <c r="G21">
        <v>7310.78</v>
      </c>
      <c r="H21">
        <v>0.51</v>
      </c>
      <c r="I21">
        <v>7.36</v>
      </c>
      <c r="J21">
        <v>14499</v>
      </c>
      <c r="K21">
        <v>12</v>
      </c>
    </row>
    <row r="22" spans="1:11" x14ac:dyDescent="0.35">
      <c r="A22" t="s">
        <v>31</v>
      </c>
      <c r="B22">
        <v>1.62</v>
      </c>
      <c r="C22">
        <v>-2.85</v>
      </c>
      <c r="D22">
        <v>11742.34</v>
      </c>
      <c r="E22">
        <v>12466.2</v>
      </c>
      <c r="F22">
        <v>3600</v>
      </c>
      <c r="G22">
        <v>7244.1</v>
      </c>
      <c r="H22">
        <v>1.62</v>
      </c>
      <c r="I22">
        <v>7.89</v>
      </c>
      <c r="J22">
        <v>11555</v>
      </c>
      <c r="K22">
        <v>17</v>
      </c>
    </row>
    <row r="23" spans="1:11" x14ac:dyDescent="0.35">
      <c r="A23" t="s">
        <v>32</v>
      </c>
      <c r="B23">
        <v>0.05</v>
      </c>
      <c r="C23">
        <v>-3.27</v>
      </c>
      <c r="D23">
        <v>9456.6200000000008</v>
      </c>
      <c r="E23">
        <v>9816.5400000000009</v>
      </c>
      <c r="F23">
        <v>3600</v>
      </c>
      <c r="G23">
        <v>7229.95</v>
      </c>
      <c r="H23">
        <v>0.05</v>
      </c>
      <c r="I23">
        <v>3.86</v>
      </c>
      <c r="J23">
        <v>9452</v>
      </c>
      <c r="K23">
        <v>18</v>
      </c>
    </row>
    <row r="24" spans="1:11" hidden="1" x14ac:dyDescent="0.35">
      <c r="A24" t="s">
        <v>33</v>
      </c>
      <c r="B24">
        <v>0.02</v>
      </c>
      <c r="C24">
        <v>3.95</v>
      </c>
      <c r="D24">
        <v>8430.35</v>
      </c>
      <c r="E24">
        <v>9096.81</v>
      </c>
      <c r="F24">
        <v>3600</v>
      </c>
      <c r="G24">
        <v>7221.53</v>
      </c>
      <c r="H24">
        <v>0.02</v>
      </c>
      <c r="I24">
        <v>7.92</v>
      </c>
      <c r="J24">
        <v>8429</v>
      </c>
      <c r="K24">
        <v>33</v>
      </c>
    </row>
    <row r="25" spans="1:11" x14ac:dyDescent="0.35">
      <c r="A25" t="s">
        <v>34</v>
      </c>
      <c r="B25">
        <v>0.37</v>
      </c>
      <c r="C25">
        <v>-2.38</v>
      </c>
      <c r="D25">
        <v>7505.95</v>
      </c>
      <c r="E25">
        <v>7690.76</v>
      </c>
      <c r="F25">
        <v>3600</v>
      </c>
      <c r="G25">
        <v>7206.7</v>
      </c>
      <c r="H25">
        <v>0.37</v>
      </c>
      <c r="I25">
        <v>2.85</v>
      </c>
      <c r="J25">
        <v>7478</v>
      </c>
      <c r="K25">
        <v>37</v>
      </c>
    </row>
    <row r="26" spans="1:11" x14ac:dyDescent="0.35">
      <c r="A26" t="s">
        <v>35</v>
      </c>
      <c r="B26">
        <v>0.26</v>
      </c>
      <c r="C26">
        <v>-3.19</v>
      </c>
      <c r="D26">
        <v>11958.39</v>
      </c>
      <c r="E26">
        <v>12834.79</v>
      </c>
      <c r="F26">
        <v>3600</v>
      </c>
      <c r="G26">
        <v>7288.55</v>
      </c>
      <c r="H26">
        <v>0.26</v>
      </c>
      <c r="I26">
        <v>7.61</v>
      </c>
      <c r="J26">
        <v>11927</v>
      </c>
      <c r="K26">
        <v>11</v>
      </c>
    </row>
    <row r="27" spans="1:11" x14ac:dyDescent="0.35">
      <c r="A27" t="s">
        <v>36</v>
      </c>
      <c r="B27">
        <v>0.19</v>
      </c>
      <c r="C27">
        <v>-3.66</v>
      </c>
      <c r="D27">
        <v>12619.41</v>
      </c>
      <c r="E27">
        <v>13127.03</v>
      </c>
      <c r="F27">
        <v>3600</v>
      </c>
      <c r="G27">
        <v>7281.75</v>
      </c>
      <c r="H27">
        <v>0.19</v>
      </c>
      <c r="I27">
        <v>4.22</v>
      </c>
      <c r="J27">
        <v>12595</v>
      </c>
      <c r="K27">
        <v>10</v>
      </c>
    </row>
    <row r="28" spans="1:11" x14ac:dyDescent="0.35">
      <c r="A28" t="s">
        <v>37</v>
      </c>
      <c r="B28">
        <v>0.26</v>
      </c>
      <c r="C28">
        <v>-2.0699999999999998</v>
      </c>
      <c r="D28">
        <v>10589.04</v>
      </c>
      <c r="E28">
        <v>10881.69</v>
      </c>
      <c r="F28">
        <v>3600</v>
      </c>
      <c r="G28">
        <v>7234.79</v>
      </c>
      <c r="H28">
        <v>0.26</v>
      </c>
      <c r="I28">
        <v>3.03</v>
      </c>
      <c r="J28">
        <v>10562</v>
      </c>
      <c r="K28">
        <v>15</v>
      </c>
    </row>
    <row r="29" spans="1:11" x14ac:dyDescent="0.35">
      <c r="A29" t="s">
        <v>38</v>
      </c>
      <c r="B29">
        <v>0.06</v>
      </c>
      <c r="C29">
        <v>-0.86</v>
      </c>
      <c r="D29">
        <v>11197.24</v>
      </c>
      <c r="E29">
        <v>11920.09</v>
      </c>
      <c r="F29">
        <v>3600</v>
      </c>
      <c r="G29">
        <v>7248.12</v>
      </c>
      <c r="H29">
        <v>0.06</v>
      </c>
      <c r="I29">
        <v>6.52</v>
      </c>
      <c r="J29">
        <v>11190</v>
      </c>
      <c r="K29">
        <v>13</v>
      </c>
    </row>
    <row r="30" spans="1:11" x14ac:dyDescent="0.35">
      <c r="A30" t="s">
        <v>39</v>
      </c>
      <c r="B30">
        <v>0.11</v>
      </c>
      <c r="C30">
        <v>-3.8</v>
      </c>
      <c r="D30">
        <v>9818.41</v>
      </c>
      <c r="E30">
        <v>10325.99</v>
      </c>
      <c r="F30">
        <v>3600</v>
      </c>
      <c r="G30">
        <v>7229.07</v>
      </c>
      <c r="H30">
        <v>0.11</v>
      </c>
      <c r="I30">
        <v>5.28</v>
      </c>
      <c r="J30">
        <v>9808</v>
      </c>
      <c r="K30">
        <v>18</v>
      </c>
    </row>
    <row r="31" spans="1:11" x14ac:dyDescent="0.35">
      <c r="A31" t="s">
        <v>40</v>
      </c>
      <c r="B31">
        <v>0.02</v>
      </c>
      <c r="C31">
        <v>-3.2</v>
      </c>
      <c r="D31">
        <v>9302.59</v>
      </c>
      <c r="E31">
        <v>9804.7199999999993</v>
      </c>
      <c r="F31">
        <v>3600</v>
      </c>
      <c r="G31">
        <v>7238.6</v>
      </c>
      <c r="H31">
        <v>0.02</v>
      </c>
      <c r="I31">
        <v>5.42</v>
      </c>
      <c r="J31">
        <v>9301</v>
      </c>
      <c r="K31">
        <v>18</v>
      </c>
    </row>
    <row r="32" spans="1:11" x14ac:dyDescent="0.35">
      <c r="A32" t="s">
        <v>41</v>
      </c>
      <c r="B32">
        <v>-0.01</v>
      </c>
      <c r="C32">
        <v>-1.48</v>
      </c>
      <c r="D32">
        <v>8509.43</v>
      </c>
      <c r="E32">
        <v>8728.34</v>
      </c>
      <c r="F32">
        <v>3600</v>
      </c>
      <c r="G32">
        <v>7208.15</v>
      </c>
      <c r="H32">
        <v>-0.01</v>
      </c>
      <c r="I32">
        <v>2.57</v>
      </c>
      <c r="J32">
        <v>8510</v>
      </c>
      <c r="K32">
        <v>27</v>
      </c>
    </row>
    <row r="33" spans="1:11" x14ac:dyDescent="0.35">
      <c r="A33" t="s">
        <v>42</v>
      </c>
      <c r="B33">
        <v>0</v>
      </c>
      <c r="C33">
        <v>-2.74</v>
      </c>
      <c r="D33">
        <v>8582.76</v>
      </c>
      <c r="E33">
        <v>8803.36</v>
      </c>
      <c r="F33">
        <v>3600.02</v>
      </c>
      <c r="G33">
        <v>7214.79</v>
      </c>
      <c r="H33">
        <v>0</v>
      </c>
      <c r="I33">
        <v>2.57</v>
      </c>
      <c r="J33">
        <v>8583</v>
      </c>
      <c r="K33">
        <v>45</v>
      </c>
    </row>
    <row r="34" spans="1:11" x14ac:dyDescent="0.35">
      <c r="A34" t="s">
        <v>43</v>
      </c>
      <c r="B34">
        <v>0.26</v>
      </c>
      <c r="C34">
        <v>-3.55</v>
      </c>
      <c r="D34">
        <v>10618.8</v>
      </c>
      <c r="E34">
        <v>11052.73</v>
      </c>
      <c r="F34">
        <v>3600</v>
      </c>
      <c r="G34">
        <v>7299.84</v>
      </c>
      <c r="H34">
        <v>0.26</v>
      </c>
      <c r="I34">
        <v>4.3600000000000003</v>
      </c>
      <c r="J34">
        <v>10591</v>
      </c>
      <c r="K34">
        <v>10</v>
      </c>
    </row>
    <row r="35" spans="1:11" x14ac:dyDescent="0.35">
      <c r="A35" t="s">
        <v>44</v>
      </c>
      <c r="B35">
        <v>7.0000000000000007E-2</v>
      </c>
      <c r="C35">
        <v>-0.1</v>
      </c>
      <c r="D35">
        <v>10720.36</v>
      </c>
      <c r="E35">
        <v>11260.31</v>
      </c>
      <c r="F35">
        <v>3600</v>
      </c>
      <c r="G35">
        <v>7292.44</v>
      </c>
      <c r="H35">
        <v>7.0000000000000007E-2</v>
      </c>
      <c r="I35">
        <v>5.1100000000000003</v>
      </c>
      <c r="J35">
        <v>10713</v>
      </c>
      <c r="K35">
        <v>11</v>
      </c>
    </row>
    <row r="36" spans="1:11" x14ac:dyDescent="0.35">
      <c r="A36" t="s">
        <v>45</v>
      </c>
      <c r="B36">
        <v>0.33</v>
      </c>
      <c r="C36">
        <v>-1.96</v>
      </c>
      <c r="D36">
        <v>10139.32</v>
      </c>
      <c r="E36">
        <v>10393.77</v>
      </c>
      <c r="F36">
        <v>3600</v>
      </c>
      <c r="G36">
        <v>7247.77</v>
      </c>
      <c r="H36">
        <v>0.33</v>
      </c>
      <c r="I36">
        <v>2.85</v>
      </c>
      <c r="J36">
        <v>10106</v>
      </c>
      <c r="K36">
        <v>15</v>
      </c>
    </row>
    <row r="37" spans="1:11" x14ac:dyDescent="0.35">
      <c r="A37" t="s">
        <v>46</v>
      </c>
      <c r="B37">
        <v>0.79</v>
      </c>
      <c r="C37">
        <v>-3.71</v>
      </c>
      <c r="D37">
        <v>9111.7900000000009</v>
      </c>
      <c r="E37">
        <v>9533.4</v>
      </c>
      <c r="F37">
        <v>3600</v>
      </c>
      <c r="G37">
        <v>7260.23</v>
      </c>
      <c r="H37">
        <v>0.79</v>
      </c>
      <c r="I37">
        <v>5.46</v>
      </c>
      <c r="J37">
        <v>9040</v>
      </c>
      <c r="K37">
        <v>12</v>
      </c>
    </row>
    <row r="38" spans="1:11" x14ac:dyDescent="0.35">
      <c r="A38" t="s">
        <v>47</v>
      </c>
      <c r="B38">
        <v>0.03</v>
      </c>
      <c r="C38">
        <v>-4.1399999999999997</v>
      </c>
      <c r="D38">
        <v>7571.97</v>
      </c>
      <c r="E38">
        <v>7653.1</v>
      </c>
      <c r="F38">
        <v>3600</v>
      </c>
      <c r="G38">
        <v>7212.9</v>
      </c>
      <c r="H38">
        <v>0.03</v>
      </c>
      <c r="I38">
        <v>1.1000000000000001</v>
      </c>
      <c r="J38">
        <v>7570</v>
      </c>
      <c r="K38">
        <v>20</v>
      </c>
    </row>
    <row r="39" spans="1:11" x14ac:dyDescent="0.35">
      <c r="A39" t="s">
        <v>48</v>
      </c>
      <c r="B39">
        <v>0.05</v>
      </c>
      <c r="C39">
        <v>-3.62</v>
      </c>
      <c r="D39">
        <v>7345.74</v>
      </c>
      <c r="E39">
        <v>7612.11</v>
      </c>
      <c r="F39">
        <v>3600</v>
      </c>
      <c r="G39">
        <v>7224.9</v>
      </c>
      <c r="H39">
        <v>0.05</v>
      </c>
      <c r="I39">
        <v>3.68</v>
      </c>
      <c r="J39">
        <v>7342</v>
      </c>
      <c r="K39">
        <v>21</v>
      </c>
    </row>
    <row r="40" spans="1:11" x14ac:dyDescent="0.35">
      <c r="A40" t="s">
        <v>49</v>
      </c>
      <c r="B40">
        <v>0.1</v>
      </c>
      <c r="C40">
        <v>-1.19</v>
      </c>
      <c r="D40">
        <v>5970.04</v>
      </c>
      <c r="E40">
        <v>6014.92</v>
      </c>
      <c r="F40">
        <v>3600</v>
      </c>
      <c r="G40">
        <v>7214.64</v>
      </c>
      <c r="H40">
        <v>0.1</v>
      </c>
      <c r="I40">
        <v>0.85</v>
      </c>
      <c r="J40">
        <v>5964</v>
      </c>
      <c r="K40">
        <v>46</v>
      </c>
    </row>
    <row r="41" spans="1:11" x14ac:dyDescent="0.35">
      <c r="A41" t="s">
        <v>50</v>
      </c>
      <c r="B41">
        <v>0</v>
      </c>
      <c r="C41">
        <v>-2.08</v>
      </c>
      <c r="D41">
        <v>5806.2</v>
      </c>
      <c r="E41">
        <v>5971.95</v>
      </c>
      <c r="F41">
        <v>3600</v>
      </c>
      <c r="G41">
        <v>7230.79</v>
      </c>
      <c r="H41">
        <v>0</v>
      </c>
      <c r="I41">
        <v>2.86</v>
      </c>
      <c r="J41">
        <v>5806</v>
      </c>
      <c r="K41">
        <v>40</v>
      </c>
    </row>
    <row r="42" spans="1:11" x14ac:dyDescent="0.35">
      <c r="A42" t="s">
        <v>51</v>
      </c>
      <c r="B42">
        <v>1.49</v>
      </c>
      <c r="C42">
        <v>-2.2799999999999998</v>
      </c>
      <c r="D42">
        <v>13338.58</v>
      </c>
      <c r="E42">
        <v>13878.2</v>
      </c>
      <c r="F42">
        <v>3600</v>
      </c>
      <c r="G42">
        <v>7274.86</v>
      </c>
      <c r="H42">
        <v>1.49</v>
      </c>
      <c r="I42">
        <v>5.59</v>
      </c>
      <c r="J42">
        <v>13143</v>
      </c>
      <c r="K42">
        <v>10</v>
      </c>
    </row>
    <row r="43" spans="1:11" x14ac:dyDescent="0.35">
      <c r="A43" t="s">
        <v>52</v>
      </c>
      <c r="B43">
        <v>0.39</v>
      </c>
      <c r="C43">
        <v>-4.1900000000000004</v>
      </c>
      <c r="D43">
        <v>12614.97</v>
      </c>
      <c r="E43">
        <v>13145.25</v>
      </c>
      <c r="F43">
        <v>3600.02</v>
      </c>
      <c r="G43">
        <v>7247.69</v>
      </c>
      <c r="H43">
        <v>0.39</v>
      </c>
      <c r="I43">
        <v>4.6100000000000003</v>
      </c>
      <c r="J43">
        <v>12566</v>
      </c>
      <c r="K43">
        <v>10</v>
      </c>
    </row>
    <row r="44" spans="1:11" x14ac:dyDescent="0.35">
      <c r="A44" t="s">
        <v>53</v>
      </c>
      <c r="B44">
        <v>0.41</v>
      </c>
      <c r="C44">
        <v>-4.92</v>
      </c>
      <c r="D44">
        <v>10895.02</v>
      </c>
      <c r="E44">
        <v>11245.81</v>
      </c>
      <c r="F44">
        <v>3600</v>
      </c>
      <c r="G44">
        <v>7252.7</v>
      </c>
      <c r="H44">
        <v>0.41</v>
      </c>
      <c r="I44">
        <v>3.64</v>
      </c>
      <c r="J44">
        <v>10851</v>
      </c>
      <c r="K44">
        <v>12</v>
      </c>
    </row>
    <row r="45" spans="1:11" x14ac:dyDescent="0.35">
      <c r="A45" t="s">
        <v>54</v>
      </c>
      <c r="B45">
        <v>0.06</v>
      </c>
      <c r="C45">
        <v>-1.97</v>
      </c>
      <c r="D45">
        <v>9705.17</v>
      </c>
      <c r="E45">
        <v>10103.299999999999</v>
      </c>
      <c r="F45">
        <v>3600.01</v>
      </c>
      <c r="G45">
        <v>7234</v>
      </c>
      <c r="H45">
        <v>0.06</v>
      </c>
      <c r="I45">
        <v>4.17</v>
      </c>
      <c r="J45">
        <v>9699</v>
      </c>
      <c r="K45">
        <v>15</v>
      </c>
    </row>
    <row r="46" spans="1:11" hidden="1" x14ac:dyDescent="0.35">
      <c r="A46" t="s">
        <v>55</v>
      </c>
      <c r="B46">
        <v>0</v>
      </c>
      <c r="C46">
        <v>0.02</v>
      </c>
      <c r="D46">
        <v>8237.18</v>
      </c>
      <c r="E46">
        <v>8772.2900000000009</v>
      </c>
      <c r="F46">
        <v>3600</v>
      </c>
      <c r="G46">
        <v>7219.76</v>
      </c>
      <c r="H46">
        <v>0</v>
      </c>
      <c r="I46">
        <v>6.5</v>
      </c>
      <c r="J46">
        <v>8237</v>
      </c>
      <c r="K46">
        <v>23</v>
      </c>
    </row>
    <row r="47" spans="1:11" x14ac:dyDescent="0.35">
      <c r="A47" t="s">
        <v>56</v>
      </c>
      <c r="B47">
        <v>0.18</v>
      </c>
      <c r="C47">
        <v>-4.3099999999999996</v>
      </c>
      <c r="D47">
        <v>9955.07</v>
      </c>
      <c r="E47">
        <v>10202.01</v>
      </c>
      <c r="F47">
        <v>3600</v>
      </c>
      <c r="G47">
        <v>7259.64</v>
      </c>
      <c r="H47">
        <v>0.18</v>
      </c>
      <c r="I47">
        <v>2.67</v>
      </c>
      <c r="J47">
        <v>9937</v>
      </c>
      <c r="K47">
        <v>16</v>
      </c>
    </row>
    <row r="48" spans="1:11" x14ac:dyDescent="0.35">
      <c r="A48" t="s">
        <v>57</v>
      </c>
      <c r="B48">
        <v>0.11</v>
      </c>
      <c r="C48">
        <v>-4.4400000000000004</v>
      </c>
      <c r="D48">
        <v>8316.7999999999993</v>
      </c>
      <c r="E48">
        <v>8404.86</v>
      </c>
      <c r="F48">
        <v>3600</v>
      </c>
      <c r="G48">
        <v>7216.72</v>
      </c>
      <c r="H48">
        <v>0.11</v>
      </c>
      <c r="I48">
        <v>1.17</v>
      </c>
      <c r="J48">
        <v>8308</v>
      </c>
      <c r="K48">
        <v>27</v>
      </c>
    </row>
    <row r="49" spans="1:11" x14ac:dyDescent="0.35">
      <c r="A49" t="s">
        <v>58</v>
      </c>
      <c r="B49">
        <v>0.01</v>
      </c>
      <c r="C49">
        <v>-0.45</v>
      </c>
      <c r="D49">
        <v>8091.19</v>
      </c>
      <c r="E49">
        <v>8191.11</v>
      </c>
      <c r="F49">
        <v>3600.01</v>
      </c>
      <c r="G49">
        <v>7215.4</v>
      </c>
      <c r="H49">
        <v>0.01</v>
      </c>
      <c r="I49">
        <v>1.25</v>
      </c>
      <c r="J49">
        <v>8090</v>
      </c>
      <c r="K49">
        <v>30</v>
      </c>
    </row>
    <row r="50" spans="1:11" x14ac:dyDescent="0.35">
      <c r="A50" t="s">
        <v>59</v>
      </c>
      <c r="B50">
        <v>1.24</v>
      </c>
      <c r="C50">
        <v>-4.46</v>
      </c>
      <c r="D50">
        <v>18335.150000000001</v>
      </c>
      <c r="E50">
        <v>19276.59</v>
      </c>
      <c r="F50">
        <v>3600</v>
      </c>
      <c r="G50">
        <v>7253.81</v>
      </c>
      <c r="H50">
        <v>1.24</v>
      </c>
      <c r="I50">
        <v>6.44</v>
      </c>
      <c r="J50">
        <v>18110</v>
      </c>
      <c r="K50">
        <v>11</v>
      </c>
    </row>
    <row r="51" spans="1:11" x14ac:dyDescent="0.35">
      <c r="A51" t="s">
        <v>60</v>
      </c>
      <c r="B51">
        <v>0.95</v>
      </c>
      <c r="C51">
        <v>-4.75</v>
      </c>
      <c r="D51">
        <v>18870.03</v>
      </c>
      <c r="E51">
        <v>19935.560000000001</v>
      </c>
      <c r="F51">
        <v>3600</v>
      </c>
      <c r="G51">
        <v>7235.51</v>
      </c>
      <c r="H51">
        <v>0.95</v>
      </c>
      <c r="I51">
        <v>6.65</v>
      </c>
      <c r="J51">
        <v>18692</v>
      </c>
      <c r="K51">
        <v>11</v>
      </c>
    </row>
    <row r="52" spans="1:11" x14ac:dyDescent="0.35">
      <c r="A52" t="s">
        <v>61</v>
      </c>
      <c r="B52">
        <v>3.37</v>
      </c>
      <c r="C52">
        <v>-5.2</v>
      </c>
      <c r="D52">
        <v>18806.349999999999</v>
      </c>
      <c r="E52">
        <v>19190.939999999999</v>
      </c>
      <c r="F52">
        <v>3600</v>
      </c>
      <c r="G52">
        <v>7236.01</v>
      </c>
      <c r="H52">
        <v>3.37</v>
      </c>
      <c r="I52">
        <v>5.48</v>
      </c>
      <c r="J52">
        <v>18194</v>
      </c>
      <c r="K52">
        <v>12</v>
      </c>
    </row>
    <row r="53" spans="1:11" x14ac:dyDescent="0.35">
      <c r="A53" t="s">
        <v>62</v>
      </c>
      <c r="B53">
        <v>3.58</v>
      </c>
      <c r="C53">
        <v>-2.3199999999999998</v>
      </c>
      <c r="D53">
        <v>18471.41</v>
      </c>
      <c r="E53">
        <v>19410.98</v>
      </c>
      <c r="F53">
        <v>3600</v>
      </c>
      <c r="G53">
        <v>7247.01</v>
      </c>
      <c r="H53">
        <v>3.58</v>
      </c>
      <c r="I53">
        <v>8.85</v>
      </c>
      <c r="J53">
        <v>17833</v>
      </c>
      <c r="K53">
        <v>12</v>
      </c>
    </row>
    <row r="54" spans="1:11" x14ac:dyDescent="0.35">
      <c r="A54" t="s">
        <v>63</v>
      </c>
      <c r="B54">
        <v>2</v>
      </c>
      <c r="C54">
        <v>-4.59</v>
      </c>
      <c r="D54">
        <v>13808.76</v>
      </c>
      <c r="E54">
        <v>14327.97</v>
      </c>
      <c r="F54">
        <v>3600</v>
      </c>
      <c r="G54">
        <v>7226.07</v>
      </c>
      <c r="H54">
        <v>2</v>
      </c>
      <c r="I54">
        <v>5.84</v>
      </c>
      <c r="J54">
        <v>13538</v>
      </c>
      <c r="K54">
        <v>18</v>
      </c>
    </row>
    <row r="55" spans="1:11" x14ac:dyDescent="0.35">
      <c r="A55" t="s">
        <v>64</v>
      </c>
      <c r="B55">
        <v>0.57999999999999996</v>
      </c>
      <c r="C55">
        <v>-4.1500000000000004</v>
      </c>
      <c r="D55">
        <v>13651.03</v>
      </c>
      <c r="E55">
        <v>14125.27</v>
      </c>
      <c r="F55">
        <v>3600</v>
      </c>
      <c r="G55">
        <v>7241.82</v>
      </c>
      <c r="H55">
        <v>0.57999999999999996</v>
      </c>
      <c r="I55">
        <v>4.08</v>
      </c>
      <c r="J55">
        <v>13572</v>
      </c>
      <c r="K55">
        <v>19</v>
      </c>
    </row>
    <row r="56" spans="1:11" x14ac:dyDescent="0.35">
      <c r="A56" t="s">
        <v>65</v>
      </c>
      <c r="B56">
        <v>0.47</v>
      </c>
      <c r="C56">
        <v>-9.48</v>
      </c>
      <c r="D56">
        <v>9934.02</v>
      </c>
      <c r="E56">
        <v>10312.59</v>
      </c>
      <c r="F56">
        <v>3600</v>
      </c>
      <c r="G56">
        <v>7213.51</v>
      </c>
      <c r="H56">
        <v>0.47</v>
      </c>
      <c r="I56">
        <v>4.29</v>
      </c>
      <c r="J56">
        <v>9888</v>
      </c>
      <c r="K56">
        <v>38</v>
      </c>
    </row>
    <row r="57" spans="1:11" x14ac:dyDescent="0.35">
      <c r="A57" t="s">
        <v>66</v>
      </c>
      <c r="B57">
        <v>0.23</v>
      </c>
      <c r="C57">
        <v>-5.48</v>
      </c>
      <c r="D57">
        <v>9576.6200000000008</v>
      </c>
      <c r="E57">
        <v>9876.8700000000008</v>
      </c>
      <c r="F57">
        <v>3600</v>
      </c>
      <c r="G57">
        <v>7225.19</v>
      </c>
      <c r="H57">
        <v>0.23</v>
      </c>
      <c r="I57">
        <v>3.37</v>
      </c>
      <c r="J57">
        <v>9555</v>
      </c>
      <c r="K57">
        <v>34</v>
      </c>
    </row>
    <row r="58" spans="1:11" x14ac:dyDescent="0.35">
      <c r="A58" t="s">
        <v>67</v>
      </c>
      <c r="B58">
        <v>0.51</v>
      </c>
      <c r="C58">
        <v>-3.32</v>
      </c>
      <c r="D58">
        <v>21036.27</v>
      </c>
      <c r="E58">
        <v>21619.85</v>
      </c>
      <c r="F58">
        <v>3600.01</v>
      </c>
      <c r="G58">
        <v>7253.41</v>
      </c>
      <c r="H58">
        <v>0.51</v>
      </c>
      <c r="I58">
        <v>3.3</v>
      </c>
      <c r="J58">
        <v>20930</v>
      </c>
      <c r="K58">
        <v>10</v>
      </c>
    </row>
    <row r="59" spans="1:11" x14ac:dyDescent="0.35">
      <c r="A59" t="s">
        <v>68</v>
      </c>
      <c r="B59">
        <v>0.59</v>
      </c>
      <c r="C59">
        <v>-3.82</v>
      </c>
      <c r="D59">
        <v>17012.330000000002</v>
      </c>
      <c r="E59">
        <v>17216.259999999998</v>
      </c>
      <c r="F59">
        <v>3600.01</v>
      </c>
      <c r="G59">
        <v>7256.3</v>
      </c>
      <c r="H59">
        <v>0.59</v>
      </c>
      <c r="I59">
        <v>1.79</v>
      </c>
      <c r="J59">
        <v>16913</v>
      </c>
      <c r="K59">
        <v>11</v>
      </c>
    </row>
    <row r="60" spans="1:11" x14ac:dyDescent="0.35">
      <c r="A60" t="s">
        <v>69</v>
      </c>
      <c r="B60">
        <v>0.37</v>
      </c>
      <c r="C60">
        <v>-4.3</v>
      </c>
      <c r="D60">
        <v>16408.59</v>
      </c>
      <c r="E60">
        <v>17049.38</v>
      </c>
      <c r="F60">
        <v>3600</v>
      </c>
      <c r="G60">
        <v>7239.48</v>
      </c>
      <c r="H60">
        <v>0.37</v>
      </c>
      <c r="I60">
        <v>4.29</v>
      </c>
      <c r="J60">
        <v>16348</v>
      </c>
      <c r="K60">
        <v>15</v>
      </c>
    </row>
    <row r="61" spans="1:11" x14ac:dyDescent="0.35">
      <c r="A61" t="s">
        <v>70</v>
      </c>
      <c r="B61">
        <v>0.4</v>
      </c>
      <c r="C61">
        <v>-2.64</v>
      </c>
      <c r="D61">
        <v>12625.56</v>
      </c>
      <c r="E61">
        <v>13271.39</v>
      </c>
      <c r="F61">
        <v>3600</v>
      </c>
      <c r="G61">
        <v>7234.9</v>
      </c>
      <c r="H61">
        <v>0.4</v>
      </c>
      <c r="I61">
        <v>5.54</v>
      </c>
      <c r="J61">
        <v>12575</v>
      </c>
      <c r="K61">
        <v>15</v>
      </c>
    </row>
    <row r="62" spans="1:11" x14ac:dyDescent="0.35">
      <c r="A62" t="s">
        <v>71</v>
      </c>
      <c r="B62">
        <v>1.1399999999999999</v>
      </c>
      <c r="C62">
        <v>-5.84</v>
      </c>
      <c r="D62">
        <v>13059.22</v>
      </c>
      <c r="E62">
        <v>13404.89</v>
      </c>
      <c r="F62">
        <v>3600</v>
      </c>
      <c r="G62">
        <v>7225.18</v>
      </c>
      <c r="H62">
        <v>1.1399999999999999</v>
      </c>
      <c r="I62">
        <v>3.82</v>
      </c>
      <c r="J62">
        <v>12912</v>
      </c>
      <c r="K62">
        <v>18</v>
      </c>
    </row>
    <row r="63" spans="1:11" x14ac:dyDescent="0.35">
      <c r="A63" t="s">
        <v>72</v>
      </c>
      <c r="B63">
        <v>0.44</v>
      </c>
      <c r="C63">
        <v>-4.74</v>
      </c>
      <c r="D63">
        <v>12718.68</v>
      </c>
      <c r="E63">
        <v>13153.71</v>
      </c>
      <c r="F63">
        <v>3600</v>
      </c>
      <c r="G63">
        <v>7227.66</v>
      </c>
      <c r="H63">
        <v>0.44</v>
      </c>
      <c r="I63">
        <v>3.88</v>
      </c>
      <c r="J63">
        <v>12663</v>
      </c>
      <c r="K63">
        <v>20</v>
      </c>
    </row>
    <row r="64" spans="1:11" x14ac:dyDescent="0.35">
      <c r="A64" t="s">
        <v>73</v>
      </c>
      <c r="B64">
        <v>0.39</v>
      </c>
      <c r="C64">
        <v>-4.1900000000000004</v>
      </c>
      <c r="D64">
        <v>6863.86</v>
      </c>
      <c r="E64">
        <v>7044.1</v>
      </c>
      <c r="F64">
        <v>3600</v>
      </c>
      <c r="G64">
        <v>7205.35</v>
      </c>
      <c r="H64">
        <v>0.39</v>
      </c>
      <c r="I64">
        <v>3.03</v>
      </c>
      <c r="J64">
        <v>6837</v>
      </c>
      <c r="K64">
        <v>30</v>
      </c>
    </row>
    <row r="65" spans="1:11" x14ac:dyDescent="0.35">
      <c r="A65" t="s">
        <v>74</v>
      </c>
      <c r="B65">
        <v>0.24</v>
      </c>
      <c r="C65">
        <v>-3.49</v>
      </c>
      <c r="D65">
        <v>7929.77</v>
      </c>
      <c r="E65">
        <v>8288.48</v>
      </c>
      <c r="F65">
        <v>3600</v>
      </c>
      <c r="G65">
        <v>7220.4</v>
      </c>
      <c r="H65">
        <v>0.24</v>
      </c>
      <c r="I65">
        <v>4.7699999999999996</v>
      </c>
      <c r="J65">
        <v>7911</v>
      </c>
      <c r="K65">
        <v>29</v>
      </c>
    </row>
    <row r="66" spans="1:11" x14ac:dyDescent="0.35">
      <c r="A66" t="s">
        <v>75</v>
      </c>
      <c r="B66">
        <v>0.35</v>
      </c>
      <c r="C66">
        <v>-3.44</v>
      </c>
      <c r="D66">
        <v>21478.44</v>
      </c>
      <c r="E66">
        <v>22307.62</v>
      </c>
      <c r="F66">
        <v>3600</v>
      </c>
      <c r="G66">
        <v>7253.59</v>
      </c>
      <c r="H66">
        <v>0.35</v>
      </c>
      <c r="I66">
        <v>4.22</v>
      </c>
      <c r="J66">
        <v>21404</v>
      </c>
      <c r="K66">
        <v>10</v>
      </c>
    </row>
    <row r="67" spans="1:11" x14ac:dyDescent="0.35">
      <c r="A67" t="s">
        <v>76</v>
      </c>
      <c r="B67">
        <v>0.66</v>
      </c>
      <c r="C67">
        <v>-5.01</v>
      </c>
      <c r="D67">
        <v>18454.669999999998</v>
      </c>
      <c r="E67">
        <v>19083.43</v>
      </c>
      <c r="F67">
        <v>3600</v>
      </c>
      <c r="G67">
        <v>7233.78</v>
      </c>
      <c r="H67">
        <v>0.66</v>
      </c>
      <c r="I67">
        <v>4.09</v>
      </c>
      <c r="J67">
        <v>18334</v>
      </c>
      <c r="K67">
        <v>11</v>
      </c>
    </row>
    <row r="68" spans="1:11" x14ac:dyDescent="0.35">
      <c r="A68" t="s">
        <v>77</v>
      </c>
      <c r="B68">
        <v>0.74</v>
      </c>
      <c r="C68">
        <v>-8.7799999999999994</v>
      </c>
      <c r="D68">
        <v>15161.19</v>
      </c>
      <c r="E68">
        <v>15801.53</v>
      </c>
      <c r="F68">
        <v>3600</v>
      </c>
      <c r="G68">
        <v>7223.43</v>
      </c>
      <c r="H68">
        <v>0.74</v>
      </c>
      <c r="I68">
        <v>4.99</v>
      </c>
      <c r="J68">
        <v>15050</v>
      </c>
      <c r="K68">
        <v>15</v>
      </c>
    </row>
    <row r="69" spans="1:11" x14ac:dyDescent="0.35">
      <c r="A69" t="s">
        <v>78</v>
      </c>
      <c r="B69">
        <v>3.68</v>
      </c>
      <c r="C69">
        <v>-4.92</v>
      </c>
      <c r="D69">
        <v>17478.18</v>
      </c>
      <c r="E69">
        <v>17830.91</v>
      </c>
      <c r="F69">
        <v>3600</v>
      </c>
      <c r="G69">
        <v>7227.1</v>
      </c>
      <c r="H69">
        <v>3.68</v>
      </c>
      <c r="I69">
        <v>5.77</v>
      </c>
      <c r="J69">
        <v>16858</v>
      </c>
      <c r="K69">
        <v>14</v>
      </c>
    </row>
    <row r="70" spans="1:11" x14ac:dyDescent="0.35">
      <c r="A70" t="s">
        <v>79</v>
      </c>
      <c r="B70">
        <v>1.1599999999999999</v>
      </c>
      <c r="C70">
        <v>-6.65</v>
      </c>
      <c r="D70">
        <v>11939.71</v>
      </c>
      <c r="E70">
        <v>12607.61</v>
      </c>
      <c r="F70">
        <v>3600</v>
      </c>
      <c r="G70">
        <v>7219.95</v>
      </c>
      <c r="H70">
        <v>1.1599999999999999</v>
      </c>
      <c r="I70">
        <v>6.82</v>
      </c>
      <c r="J70">
        <v>11803</v>
      </c>
      <c r="K70">
        <v>24</v>
      </c>
    </row>
    <row r="71" spans="1:11" x14ac:dyDescent="0.35">
      <c r="A71" t="s">
        <v>80</v>
      </c>
      <c r="B71">
        <v>0.68</v>
      </c>
      <c r="C71">
        <v>-6.78</v>
      </c>
      <c r="D71">
        <v>10913.72</v>
      </c>
      <c r="E71">
        <v>11420.19</v>
      </c>
      <c r="F71">
        <v>3600</v>
      </c>
      <c r="G71">
        <v>7216.3</v>
      </c>
      <c r="H71">
        <v>0.68</v>
      </c>
      <c r="I71">
        <v>5.35</v>
      </c>
      <c r="J71">
        <v>10840</v>
      </c>
      <c r="K71">
        <v>23</v>
      </c>
    </row>
    <row r="72" spans="1:11" x14ac:dyDescent="0.35">
      <c r="A72" t="s">
        <v>81</v>
      </c>
      <c r="B72">
        <v>0.06</v>
      </c>
      <c r="C72">
        <v>-7.2</v>
      </c>
      <c r="D72">
        <v>9157.49</v>
      </c>
      <c r="E72">
        <v>9842.32</v>
      </c>
      <c r="F72">
        <v>3600</v>
      </c>
      <c r="G72">
        <v>7206.56</v>
      </c>
      <c r="H72">
        <v>0.06</v>
      </c>
      <c r="I72">
        <v>7.54</v>
      </c>
      <c r="J72">
        <v>9152</v>
      </c>
      <c r="K72">
        <v>36</v>
      </c>
    </row>
    <row r="73" spans="1:11" x14ac:dyDescent="0.35">
      <c r="A73" t="s">
        <v>82</v>
      </c>
      <c r="B73">
        <v>0.47</v>
      </c>
      <c r="C73">
        <v>-2.4900000000000002</v>
      </c>
      <c r="D73">
        <v>8940.4500000000007</v>
      </c>
      <c r="E73">
        <v>9366.75</v>
      </c>
      <c r="F73">
        <v>3600</v>
      </c>
      <c r="G73">
        <v>7208.27</v>
      </c>
      <c r="H73">
        <v>0.47</v>
      </c>
      <c r="I73">
        <v>5.26</v>
      </c>
      <c r="J73">
        <v>8899</v>
      </c>
      <c r="K73">
        <v>47</v>
      </c>
    </row>
    <row r="92" spans="12:13" x14ac:dyDescent="0.35">
      <c r="L92" s="5">
        <v>6.74</v>
      </c>
      <c r="M92">
        <f>AVERAGE(L92:L160)</f>
        <v>4.7871014492753625</v>
      </c>
    </row>
    <row r="93" spans="12:13" x14ac:dyDescent="0.35">
      <c r="L93" s="6">
        <v>6.77</v>
      </c>
    </row>
    <row r="94" spans="12:13" x14ac:dyDescent="0.35">
      <c r="L94" s="5">
        <v>7.01</v>
      </c>
    </row>
    <row r="95" spans="12:13" x14ac:dyDescent="0.35">
      <c r="L95" s="6">
        <v>6.9</v>
      </c>
    </row>
    <row r="96" spans="12:13" x14ac:dyDescent="0.35">
      <c r="L96" s="5">
        <v>8.19</v>
      </c>
    </row>
    <row r="97" spans="12:12" x14ac:dyDescent="0.35">
      <c r="L97" s="6">
        <v>3.36</v>
      </c>
    </row>
    <row r="98" spans="12:12" x14ac:dyDescent="0.35">
      <c r="L98" s="5">
        <v>9.34</v>
      </c>
    </row>
    <row r="99" spans="12:12" x14ac:dyDescent="0.35">
      <c r="L99" s="6">
        <v>2.23</v>
      </c>
    </row>
    <row r="100" spans="12:12" x14ac:dyDescent="0.35">
      <c r="L100" s="5">
        <v>4.68</v>
      </c>
    </row>
    <row r="101" spans="12:12" x14ac:dyDescent="0.35">
      <c r="L101" s="6">
        <v>4.76</v>
      </c>
    </row>
    <row r="102" spans="12:12" x14ac:dyDescent="0.35">
      <c r="L102" s="5">
        <v>6.2</v>
      </c>
    </row>
    <row r="103" spans="12:12" x14ac:dyDescent="0.35">
      <c r="L103" s="6">
        <v>6.44</v>
      </c>
    </row>
    <row r="104" spans="12:12" x14ac:dyDescent="0.35">
      <c r="L104" s="5">
        <v>8.85</v>
      </c>
    </row>
    <row r="105" spans="12:12" x14ac:dyDescent="0.35">
      <c r="L105" s="6">
        <v>6.55</v>
      </c>
    </row>
    <row r="106" spans="12:12" x14ac:dyDescent="0.35">
      <c r="L106" s="5">
        <v>4.59</v>
      </c>
    </row>
    <row r="107" spans="12:12" x14ac:dyDescent="0.35">
      <c r="L107" s="6">
        <v>2.4300000000000002</v>
      </c>
    </row>
    <row r="108" spans="12:12" x14ac:dyDescent="0.35">
      <c r="L108" s="5">
        <v>1.06</v>
      </c>
    </row>
    <row r="109" spans="12:12" x14ac:dyDescent="0.35">
      <c r="L109" s="6">
        <v>6.2</v>
      </c>
    </row>
    <row r="110" spans="12:12" x14ac:dyDescent="0.35">
      <c r="L110" s="5">
        <v>7.36</v>
      </c>
    </row>
    <row r="111" spans="12:12" x14ac:dyDescent="0.35">
      <c r="L111" s="6">
        <v>7.89</v>
      </c>
    </row>
    <row r="112" spans="12:12" x14ac:dyDescent="0.35">
      <c r="L112" s="5">
        <v>3.86</v>
      </c>
    </row>
    <row r="113" spans="12:12" x14ac:dyDescent="0.35">
      <c r="L113" s="6">
        <v>2.85</v>
      </c>
    </row>
    <row r="114" spans="12:12" x14ac:dyDescent="0.35">
      <c r="L114" s="5">
        <v>7.61</v>
      </c>
    </row>
    <row r="115" spans="12:12" x14ac:dyDescent="0.35">
      <c r="L115" s="6">
        <v>4.22</v>
      </c>
    </row>
    <row r="116" spans="12:12" x14ac:dyDescent="0.35">
      <c r="L116" s="5">
        <v>3.03</v>
      </c>
    </row>
    <row r="117" spans="12:12" x14ac:dyDescent="0.35">
      <c r="L117" s="6">
        <v>6.52</v>
      </c>
    </row>
    <row r="118" spans="12:12" x14ac:dyDescent="0.35">
      <c r="L118" s="5">
        <v>5.28</v>
      </c>
    </row>
    <row r="119" spans="12:12" x14ac:dyDescent="0.35">
      <c r="L119" s="6">
        <v>5.42</v>
      </c>
    </row>
    <row r="120" spans="12:12" x14ac:dyDescent="0.35">
      <c r="L120" s="5">
        <v>2.57</v>
      </c>
    </row>
    <row r="121" spans="12:12" x14ac:dyDescent="0.35">
      <c r="L121" s="6">
        <v>2.57</v>
      </c>
    </row>
    <row r="122" spans="12:12" x14ac:dyDescent="0.35">
      <c r="L122" s="5">
        <v>4.3600000000000003</v>
      </c>
    </row>
    <row r="123" spans="12:12" x14ac:dyDescent="0.35">
      <c r="L123" s="6">
        <v>5.1100000000000003</v>
      </c>
    </row>
    <row r="124" spans="12:12" x14ac:dyDescent="0.35">
      <c r="L124" s="5">
        <v>2.85</v>
      </c>
    </row>
    <row r="125" spans="12:12" x14ac:dyDescent="0.35">
      <c r="L125" s="6">
        <v>5.46</v>
      </c>
    </row>
    <row r="126" spans="12:12" x14ac:dyDescent="0.35">
      <c r="L126" s="5">
        <v>1.1000000000000001</v>
      </c>
    </row>
    <row r="127" spans="12:12" x14ac:dyDescent="0.35">
      <c r="L127" s="6">
        <v>3.68</v>
      </c>
    </row>
    <row r="128" spans="12:12" x14ac:dyDescent="0.35">
      <c r="L128" s="5">
        <v>0.85</v>
      </c>
    </row>
    <row r="129" spans="12:12" x14ac:dyDescent="0.35">
      <c r="L129" s="6">
        <v>2.86</v>
      </c>
    </row>
    <row r="130" spans="12:12" x14ac:dyDescent="0.35">
      <c r="L130" s="5">
        <v>5.59</v>
      </c>
    </row>
    <row r="131" spans="12:12" x14ac:dyDescent="0.35">
      <c r="L131" s="6">
        <v>4.6100000000000003</v>
      </c>
    </row>
    <row r="132" spans="12:12" x14ac:dyDescent="0.35">
      <c r="L132" s="5">
        <v>3.64</v>
      </c>
    </row>
    <row r="133" spans="12:12" x14ac:dyDescent="0.35">
      <c r="L133" s="6">
        <v>4.17</v>
      </c>
    </row>
    <row r="134" spans="12:12" x14ac:dyDescent="0.35">
      <c r="L134" s="5">
        <v>2.67</v>
      </c>
    </row>
    <row r="135" spans="12:12" x14ac:dyDescent="0.35">
      <c r="L135" s="6">
        <v>1.17</v>
      </c>
    </row>
    <row r="136" spans="12:12" x14ac:dyDescent="0.35">
      <c r="L136" s="5">
        <v>1.25</v>
      </c>
    </row>
    <row r="137" spans="12:12" x14ac:dyDescent="0.35">
      <c r="L137" s="6">
        <v>6.44</v>
      </c>
    </row>
    <row r="138" spans="12:12" x14ac:dyDescent="0.35">
      <c r="L138" s="5">
        <v>6.65</v>
      </c>
    </row>
    <row r="139" spans="12:12" x14ac:dyDescent="0.35">
      <c r="L139" s="6">
        <v>5.48</v>
      </c>
    </row>
    <row r="140" spans="12:12" x14ac:dyDescent="0.35">
      <c r="L140" s="5">
        <v>8.85</v>
      </c>
    </row>
    <row r="141" spans="12:12" x14ac:dyDescent="0.35">
      <c r="L141" s="6">
        <v>5.84</v>
      </c>
    </row>
    <row r="142" spans="12:12" x14ac:dyDescent="0.35">
      <c r="L142" s="5">
        <v>4.08</v>
      </c>
    </row>
    <row r="143" spans="12:12" x14ac:dyDescent="0.35">
      <c r="L143" s="6">
        <v>4.29</v>
      </c>
    </row>
    <row r="144" spans="12:12" x14ac:dyDescent="0.35">
      <c r="L144" s="5">
        <v>3.37</v>
      </c>
    </row>
    <row r="145" spans="12:12" x14ac:dyDescent="0.35">
      <c r="L145" s="6">
        <v>3.3</v>
      </c>
    </row>
    <row r="146" spans="12:12" x14ac:dyDescent="0.35">
      <c r="L146" s="5">
        <v>1.79</v>
      </c>
    </row>
    <row r="147" spans="12:12" x14ac:dyDescent="0.35">
      <c r="L147" s="6">
        <v>4.29</v>
      </c>
    </row>
    <row r="148" spans="12:12" x14ac:dyDescent="0.35">
      <c r="L148" s="5">
        <v>5.54</v>
      </c>
    </row>
    <row r="149" spans="12:12" x14ac:dyDescent="0.35">
      <c r="L149" s="6">
        <v>3.82</v>
      </c>
    </row>
    <row r="150" spans="12:12" x14ac:dyDescent="0.35">
      <c r="L150" s="5">
        <v>3.88</v>
      </c>
    </row>
    <row r="151" spans="12:12" x14ac:dyDescent="0.35">
      <c r="L151" s="6">
        <v>3.03</v>
      </c>
    </row>
    <row r="152" spans="12:12" x14ac:dyDescent="0.35">
      <c r="L152" s="5">
        <v>4.7699999999999996</v>
      </c>
    </row>
    <row r="153" spans="12:12" x14ac:dyDescent="0.35">
      <c r="L153" s="6">
        <v>4.22</v>
      </c>
    </row>
    <row r="154" spans="12:12" x14ac:dyDescent="0.35">
      <c r="L154" s="5">
        <v>4.09</v>
      </c>
    </row>
    <row r="155" spans="12:12" x14ac:dyDescent="0.35">
      <c r="L155" s="6">
        <v>4.99</v>
      </c>
    </row>
    <row r="156" spans="12:12" x14ac:dyDescent="0.35">
      <c r="L156" s="5">
        <v>5.77</v>
      </c>
    </row>
    <row r="157" spans="12:12" x14ac:dyDescent="0.35">
      <c r="L157" s="6">
        <v>6.82</v>
      </c>
    </row>
    <row r="158" spans="12:12" x14ac:dyDescent="0.35">
      <c r="L158" s="5">
        <v>5.35</v>
      </c>
    </row>
    <row r="159" spans="12:12" x14ac:dyDescent="0.35">
      <c r="L159" s="6">
        <v>7.54</v>
      </c>
    </row>
    <row r="160" spans="12:12" x14ac:dyDescent="0.35">
      <c r="L160" s="7">
        <v>5.26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Feldman, Stephen</cp:lastModifiedBy>
  <dcterms:created xsi:type="dcterms:W3CDTF">2025-09-23T14:06:15Z</dcterms:created>
  <dcterms:modified xsi:type="dcterms:W3CDTF">2025-10-02T06:53:35Z</dcterms:modified>
</cp:coreProperties>
</file>